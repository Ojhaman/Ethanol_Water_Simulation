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dc8070bf127e32/Documents/Ethanol-Water Distillation/Data/"/>
    </mc:Choice>
  </mc:AlternateContent>
  <xr:revisionPtr revIDLastSave="225" documentId="8_{957A596A-77DA-4590-90F9-5085CDBB91C4}" xr6:coauthVersionLast="47" xr6:coauthVersionMax="47" xr10:uidLastSave="{B76336F5-9A04-401D-A997-FDABE6927E04}"/>
  <bookViews>
    <workbookView xWindow="-108" yWindow="-108" windowWidth="23256" windowHeight="13896" activeTab="4" xr2:uid="{C2977B63-EE8F-4107-ABC7-991BA59FFECA}"/>
  </bookViews>
  <sheets>
    <sheet name="Project_Info" sheetId="1" r:id="rId1"/>
    <sheet name="Simulation_Input" sheetId="2" r:id="rId2"/>
    <sheet name="Stream_Results" sheetId="3" r:id="rId3"/>
    <sheet name="Energy_Results" sheetId="4" r:id="rId4"/>
    <sheet name="Performance_Calcul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D4" i="5"/>
  <c r="D3" i="5"/>
  <c r="D6" i="5"/>
  <c r="D6" i="4"/>
  <c r="D3" i="4"/>
  <c r="D4" i="4"/>
  <c r="D5" i="4"/>
  <c r="D6" i="2"/>
  <c r="D5" i="2"/>
  <c r="D4" i="2"/>
  <c r="D3" i="2"/>
  <c r="D2" i="2"/>
  <c r="D2" i="5"/>
  <c r="D2" i="4"/>
</calcChain>
</file>

<file path=xl/sharedStrings.xml><?xml version="1.0" encoding="utf-8"?>
<sst xmlns="http://schemas.openxmlformats.org/spreadsheetml/2006/main" count="61" uniqueCount="43">
  <si>
    <t>Parameter</t>
  </si>
  <si>
    <t>Value</t>
  </si>
  <si>
    <t>Project Title</t>
  </si>
  <si>
    <t>Ethanol-Water Distillation</t>
  </si>
  <si>
    <t>Software</t>
  </si>
  <si>
    <t>DWSIM</t>
  </si>
  <si>
    <t>Property Package</t>
  </si>
  <si>
    <t>NRTL</t>
  </si>
  <si>
    <t>Column Type</t>
  </si>
  <si>
    <t>Shortcut Distillation</t>
  </si>
  <si>
    <t>Light Key</t>
  </si>
  <si>
    <t>Ethanol</t>
  </si>
  <si>
    <t>Heavy Key</t>
  </si>
  <si>
    <t>Water</t>
  </si>
  <si>
    <t>Feed Temperature</t>
  </si>
  <si>
    <t>25°C</t>
  </si>
  <si>
    <t>Feed Pressure</t>
  </si>
  <si>
    <t>1 atm</t>
  </si>
  <si>
    <t>Notes</t>
  </si>
  <si>
    <t>Effect of Reflux Ratio on Separation</t>
  </si>
  <si>
    <t>S.No.</t>
  </si>
  <si>
    <t>Run ID</t>
  </si>
  <si>
    <t>Feed Flow (kg/h)</t>
  </si>
  <si>
    <t>Ethanol Feed (%)</t>
  </si>
  <si>
    <t>Water Feed (%)</t>
  </si>
  <si>
    <t>Reflux Ratio</t>
  </si>
  <si>
    <t>R1</t>
  </si>
  <si>
    <t>R2</t>
  </si>
  <si>
    <t>R3</t>
  </si>
  <si>
    <t>R4</t>
  </si>
  <si>
    <t>R5</t>
  </si>
  <si>
    <t>Distillate Flow</t>
  </si>
  <si>
    <t>Distillate Ethanol %</t>
  </si>
  <si>
    <t>Bottoms Flow</t>
  </si>
  <si>
    <t>Bottoms Ethanol %</t>
  </si>
  <si>
    <t>Distillate Temp</t>
  </si>
  <si>
    <t>Bottoms Temp</t>
  </si>
  <si>
    <t>Condenser Duty (kW)</t>
  </si>
  <si>
    <t>Reboiler Duty (kW)</t>
  </si>
  <si>
    <t>Total Energy (kW)</t>
  </si>
  <si>
    <t>Ethanol Feed (kg/h)</t>
  </si>
  <si>
    <t>Ethanol Distillate (kg/h)</t>
  </si>
  <si>
    <t>Recovery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</si>
</sst>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8"/>
      <color theme="1"/>
      <name val="Segoe UI"/>
      <family val="2"/>
    </font>
    <font>
      <b/>
      <sz val="1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0DF8-2F58-41F3-95DA-CC9542F10B78}">
  <dimension ref="A1:C10"/>
  <sheetViews>
    <sheetView zoomScale="62" workbookViewId="0">
      <selection activeCell="I9" sqref="I9"/>
    </sheetView>
  </sheetViews>
  <sheetFormatPr defaultRowHeight="34.950000000000003" customHeight="1" x14ac:dyDescent="0.6"/>
  <cols>
    <col min="1" max="1" width="8.88671875" style="23"/>
    <col min="2" max="2" width="32.44140625" style="18" customWidth="1"/>
    <col min="3" max="3" width="66.21875" style="18" customWidth="1"/>
    <col min="4" max="16384" width="8.88671875" style="18"/>
  </cols>
  <sheetData>
    <row r="1" spans="1:3" ht="34.950000000000003" customHeight="1" x14ac:dyDescent="0.6">
      <c r="A1" s="19" t="s">
        <v>20</v>
      </c>
      <c r="B1" s="20" t="s">
        <v>0</v>
      </c>
      <c r="C1" s="20" t="s">
        <v>1</v>
      </c>
    </row>
    <row r="2" spans="1:3" ht="34.950000000000003" customHeight="1" x14ac:dyDescent="0.6">
      <c r="A2" s="21">
        <v>1</v>
      </c>
      <c r="B2" s="22" t="s">
        <v>2</v>
      </c>
      <c r="C2" s="22" t="s">
        <v>3</v>
      </c>
    </row>
    <row r="3" spans="1:3" ht="34.950000000000003" customHeight="1" x14ac:dyDescent="0.6">
      <c r="A3" s="21">
        <v>2</v>
      </c>
      <c r="B3" s="22" t="s">
        <v>4</v>
      </c>
      <c r="C3" s="22" t="s">
        <v>5</v>
      </c>
    </row>
    <row r="4" spans="1:3" ht="34.950000000000003" customHeight="1" x14ac:dyDescent="0.6">
      <c r="A4" s="21">
        <v>3</v>
      </c>
      <c r="B4" s="22" t="s">
        <v>6</v>
      </c>
      <c r="C4" s="22" t="s">
        <v>7</v>
      </c>
    </row>
    <row r="5" spans="1:3" ht="34.950000000000003" customHeight="1" x14ac:dyDescent="0.6">
      <c r="A5" s="21">
        <v>4</v>
      </c>
      <c r="B5" s="22" t="s">
        <v>8</v>
      </c>
      <c r="C5" s="22" t="s">
        <v>9</v>
      </c>
    </row>
    <row r="6" spans="1:3" ht="34.950000000000003" customHeight="1" x14ac:dyDescent="0.6">
      <c r="A6" s="21">
        <v>5</v>
      </c>
      <c r="B6" s="22" t="s">
        <v>10</v>
      </c>
      <c r="C6" s="22" t="s">
        <v>11</v>
      </c>
    </row>
    <row r="7" spans="1:3" ht="34.950000000000003" customHeight="1" x14ac:dyDescent="0.6">
      <c r="A7" s="21">
        <v>6</v>
      </c>
      <c r="B7" s="22" t="s">
        <v>12</v>
      </c>
      <c r="C7" s="22" t="s">
        <v>13</v>
      </c>
    </row>
    <row r="8" spans="1:3" ht="34.950000000000003" customHeight="1" x14ac:dyDescent="0.6">
      <c r="A8" s="21">
        <v>7</v>
      </c>
      <c r="B8" s="22" t="s">
        <v>14</v>
      </c>
      <c r="C8" s="22" t="s">
        <v>15</v>
      </c>
    </row>
    <row r="9" spans="1:3" ht="34.950000000000003" customHeight="1" x14ac:dyDescent="0.6">
      <c r="A9" s="21">
        <v>8</v>
      </c>
      <c r="B9" s="22" t="s">
        <v>16</v>
      </c>
      <c r="C9" s="22" t="s">
        <v>17</v>
      </c>
    </row>
    <row r="10" spans="1:3" ht="34.950000000000003" customHeight="1" x14ac:dyDescent="0.6">
      <c r="A10" s="21">
        <v>9</v>
      </c>
      <c r="B10" s="22" t="s">
        <v>18</v>
      </c>
      <c r="C10" s="2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2295-B42A-4C20-9C51-9594EDCD3FC3}">
  <dimension ref="A1:E6"/>
  <sheetViews>
    <sheetView zoomScale="95" workbookViewId="0">
      <selection activeCell="C13" sqref="C13"/>
    </sheetView>
  </sheetViews>
  <sheetFormatPr defaultRowHeight="20.399999999999999" x14ac:dyDescent="0.45"/>
  <cols>
    <col min="1" max="1" width="9.21875" style="1" customWidth="1"/>
    <col min="2" max="2" width="18.33203125" style="1" customWidth="1"/>
    <col min="3" max="3" width="18.109375" style="1" customWidth="1"/>
    <col min="4" max="4" width="18.21875" style="1" customWidth="1"/>
    <col min="5" max="5" width="14.109375" style="1" customWidth="1"/>
    <col min="6" max="16384" width="8.88671875" style="1"/>
  </cols>
  <sheetData>
    <row r="1" spans="1:5" ht="40.799999999999997" x14ac:dyDescent="0.45">
      <c r="A1" s="10" t="s">
        <v>21</v>
      </c>
      <c r="B1" s="11" t="s">
        <v>22</v>
      </c>
      <c r="C1" s="11" t="s">
        <v>23</v>
      </c>
      <c r="D1" s="11" t="s">
        <v>24</v>
      </c>
      <c r="E1" s="12" t="s">
        <v>25</v>
      </c>
    </row>
    <row r="2" spans="1:5" x14ac:dyDescent="0.45">
      <c r="A2" s="13" t="s">
        <v>26</v>
      </c>
      <c r="B2" s="3">
        <v>29236.5</v>
      </c>
      <c r="C2" s="3">
        <v>63.028599999999997</v>
      </c>
      <c r="D2" s="3">
        <f>100-C2</f>
        <v>36.971400000000003</v>
      </c>
      <c r="E2" s="14">
        <v>1.5</v>
      </c>
    </row>
    <row r="3" spans="1:5" x14ac:dyDescent="0.45">
      <c r="A3" s="13" t="s">
        <v>27</v>
      </c>
      <c r="B3" s="3">
        <v>29236.5</v>
      </c>
      <c r="C3" s="3">
        <v>63.028599999999997</v>
      </c>
      <c r="D3" s="3">
        <f>100-C3</f>
        <v>36.971400000000003</v>
      </c>
      <c r="E3" s="14">
        <v>2</v>
      </c>
    </row>
    <row r="4" spans="1:5" x14ac:dyDescent="0.45">
      <c r="A4" s="13" t="s">
        <v>28</v>
      </c>
      <c r="B4" s="3">
        <v>29236.5</v>
      </c>
      <c r="C4" s="3">
        <v>63.028599999999997</v>
      </c>
      <c r="D4" s="3">
        <f t="shared" ref="D4:D6" si="0">100-C4</f>
        <v>36.971400000000003</v>
      </c>
      <c r="E4" s="14">
        <v>2.5</v>
      </c>
    </row>
    <row r="5" spans="1:5" x14ac:dyDescent="0.45">
      <c r="A5" s="13" t="s">
        <v>29</v>
      </c>
      <c r="B5" s="3">
        <v>29236.5</v>
      </c>
      <c r="C5" s="3">
        <v>63.028599999999997</v>
      </c>
      <c r="D5" s="3">
        <f t="shared" si="0"/>
        <v>36.971400000000003</v>
      </c>
      <c r="E5" s="14">
        <v>3</v>
      </c>
    </row>
    <row r="6" spans="1:5" ht="21" thickBot="1" x14ac:dyDescent="0.5">
      <c r="A6" s="15" t="s">
        <v>30</v>
      </c>
      <c r="B6" s="3">
        <v>29236.5</v>
      </c>
      <c r="C6" s="3">
        <v>63.028599999999997</v>
      </c>
      <c r="D6" s="3">
        <f t="shared" si="0"/>
        <v>36.971400000000003</v>
      </c>
      <c r="E6" s="16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C7EA-5329-4D0D-AD79-972086ED415F}">
  <dimension ref="A1:G6"/>
  <sheetViews>
    <sheetView workbookViewId="0">
      <selection activeCell="C10" sqref="C10"/>
    </sheetView>
  </sheetViews>
  <sheetFormatPr defaultRowHeight="20.399999999999999" x14ac:dyDescent="0.45"/>
  <cols>
    <col min="1" max="1" width="8.88671875" style="2"/>
    <col min="2" max="2" width="15" style="2" customWidth="1"/>
    <col min="3" max="3" width="20.33203125" style="2" customWidth="1"/>
    <col min="4" max="4" width="14" style="2" customWidth="1"/>
    <col min="5" max="5" width="19.44140625" style="2" customWidth="1"/>
    <col min="6" max="6" width="15.109375" style="2" customWidth="1"/>
    <col min="7" max="7" width="14.6640625" style="2" customWidth="1"/>
    <col min="8" max="16384" width="8.88671875" style="2"/>
  </cols>
  <sheetData>
    <row r="1" spans="1:7" ht="40.799999999999997" x14ac:dyDescent="0.45">
      <c r="A1" s="10" t="s">
        <v>21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2" t="s">
        <v>36</v>
      </c>
    </row>
    <row r="2" spans="1:7" x14ac:dyDescent="0.45">
      <c r="A2" s="13" t="s">
        <v>26</v>
      </c>
      <c r="B2" s="3">
        <v>18221.7</v>
      </c>
      <c r="C2" s="3">
        <v>99.606499999999997</v>
      </c>
      <c r="D2" s="3">
        <v>11014.8</v>
      </c>
      <c r="E2" s="3">
        <v>2.51797</v>
      </c>
      <c r="F2" s="3">
        <v>78.613500000000002</v>
      </c>
      <c r="G2" s="14">
        <v>97.488799999999998</v>
      </c>
    </row>
    <row r="3" spans="1:7" x14ac:dyDescent="0.45">
      <c r="A3" s="13" t="s">
        <v>27</v>
      </c>
      <c r="B3" s="3">
        <v>18221.7</v>
      </c>
      <c r="C3" s="3">
        <v>99.606499999999997</v>
      </c>
      <c r="D3" s="17">
        <v>11014.8</v>
      </c>
      <c r="E3" s="17">
        <v>2.51797</v>
      </c>
      <c r="F3" s="17">
        <v>78.613500000000002</v>
      </c>
      <c r="G3" s="24">
        <v>97.488799999999998</v>
      </c>
    </row>
    <row r="4" spans="1:7" x14ac:dyDescent="0.45">
      <c r="A4" s="25" t="s">
        <v>28</v>
      </c>
      <c r="B4" s="3">
        <v>18221.7</v>
      </c>
      <c r="C4" s="3">
        <v>99.606499999999997</v>
      </c>
      <c r="D4" s="17">
        <v>11014.8</v>
      </c>
      <c r="E4" s="17">
        <v>2.51797</v>
      </c>
      <c r="F4" s="17">
        <v>78.613500000000002</v>
      </c>
      <c r="G4" s="24">
        <v>97.488799999999998</v>
      </c>
    </row>
    <row r="5" spans="1:7" x14ac:dyDescent="0.45">
      <c r="A5" s="25" t="s">
        <v>29</v>
      </c>
      <c r="B5" s="3">
        <v>18221.7</v>
      </c>
      <c r="C5" s="3">
        <v>99.606499999999997</v>
      </c>
      <c r="D5" s="17">
        <v>11014.8</v>
      </c>
      <c r="E5" s="17">
        <v>2.51797</v>
      </c>
      <c r="F5" s="17">
        <v>78.613500000000002</v>
      </c>
      <c r="G5" s="24">
        <v>97.488799999999998</v>
      </c>
    </row>
    <row r="6" spans="1:7" ht="21" thickBot="1" x14ac:dyDescent="0.5">
      <c r="A6" s="26" t="s">
        <v>30</v>
      </c>
      <c r="B6" s="27">
        <v>18221.7</v>
      </c>
      <c r="C6" s="27">
        <v>99.606499999999997</v>
      </c>
      <c r="D6" s="28">
        <v>11014.8</v>
      </c>
      <c r="E6" s="28">
        <v>2.51797</v>
      </c>
      <c r="F6" s="28">
        <v>78.613500000000002</v>
      </c>
      <c r="G6" s="29">
        <v>97.488799999999998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80DD-5DEC-4A35-A63B-5265AC8FCF0D}">
  <dimension ref="A1:D7"/>
  <sheetViews>
    <sheetView zoomScale="98" workbookViewId="0">
      <selection activeCell="C12" sqref="C12"/>
    </sheetView>
  </sheetViews>
  <sheetFormatPr defaultRowHeight="14.4" x14ac:dyDescent="0.3"/>
  <cols>
    <col min="2" max="2" width="21.44140625" customWidth="1"/>
    <col min="3" max="3" width="19.21875" customWidth="1"/>
    <col min="4" max="4" width="18.109375" customWidth="1"/>
  </cols>
  <sheetData>
    <row r="1" spans="1:4" ht="33.6" x14ac:dyDescent="0.3">
      <c r="A1" s="4" t="s">
        <v>21</v>
      </c>
      <c r="B1" s="4" t="s">
        <v>37</v>
      </c>
      <c r="C1" s="4" t="s">
        <v>38</v>
      </c>
      <c r="D1" s="4" t="s">
        <v>39</v>
      </c>
    </row>
    <row r="2" spans="1:4" ht="20.399999999999999" x14ac:dyDescent="0.3">
      <c r="A2" s="3" t="s">
        <v>26</v>
      </c>
      <c r="B2" s="3">
        <v>10739.8</v>
      </c>
      <c r="C2" s="3">
        <v>12523.08</v>
      </c>
      <c r="D2" s="3">
        <f>B2+C2</f>
        <v>23262.879999999997</v>
      </c>
    </row>
    <row r="3" spans="1:4" ht="20.399999999999999" x14ac:dyDescent="0.3">
      <c r="A3" s="3" t="s">
        <v>27</v>
      </c>
      <c r="B3" s="3">
        <v>12887.75</v>
      </c>
      <c r="C3" s="3">
        <v>14671.04</v>
      </c>
      <c r="D3" s="3">
        <f t="shared" ref="D3:D6" si="0">B3+C3</f>
        <v>27558.79</v>
      </c>
    </row>
    <row r="4" spans="1:4" ht="20.399999999999999" x14ac:dyDescent="0.45">
      <c r="A4" s="30" t="s">
        <v>28</v>
      </c>
      <c r="B4" s="17">
        <v>15035.7</v>
      </c>
      <c r="C4" s="17">
        <v>16818.990000000002</v>
      </c>
      <c r="D4" s="3">
        <f t="shared" si="0"/>
        <v>31854.690000000002</v>
      </c>
    </row>
    <row r="5" spans="1:4" ht="20.399999999999999" x14ac:dyDescent="0.45">
      <c r="A5" s="30" t="s">
        <v>29</v>
      </c>
      <c r="B5" s="17">
        <v>17183.66</v>
      </c>
      <c r="C5" s="17">
        <v>18966.95</v>
      </c>
      <c r="D5" s="3">
        <f t="shared" si="0"/>
        <v>36150.61</v>
      </c>
    </row>
    <row r="6" spans="1:4" ht="20.399999999999999" x14ac:dyDescent="0.3">
      <c r="A6" s="30" t="s">
        <v>30</v>
      </c>
      <c r="B6" s="30">
        <v>19331.62</v>
      </c>
      <c r="C6" s="30">
        <v>21114.91</v>
      </c>
      <c r="D6" s="3">
        <f t="shared" si="0"/>
        <v>40446.53</v>
      </c>
    </row>
    <row r="7" spans="1:4" x14ac:dyDescent="0.3">
      <c r="A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0C07-A00E-447B-A03B-93BE8FA6BCEB}">
  <dimension ref="A1:D11"/>
  <sheetViews>
    <sheetView tabSelected="1" workbookViewId="0">
      <selection activeCell="E18" sqref="E18"/>
    </sheetView>
  </sheetViews>
  <sheetFormatPr defaultRowHeight="14.4" x14ac:dyDescent="0.3"/>
  <cols>
    <col min="2" max="2" width="21.33203125" customWidth="1"/>
    <col min="3" max="3" width="24.33203125" customWidth="1"/>
    <col min="4" max="4" width="14.44140625" customWidth="1"/>
  </cols>
  <sheetData>
    <row r="1" spans="1:4" ht="16.8" x14ac:dyDescent="0.3">
      <c r="A1" s="5" t="s">
        <v>21</v>
      </c>
      <c r="B1" s="6" t="s">
        <v>40</v>
      </c>
      <c r="C1" s="6" t="s">
        <v>41</v>
      </c>
      <c r="D1" s="7" t="s">
        <v>42</v>
      </c>
    </row>
    <row r="2" spans="1:4" ht="20.399999999999999" x14ac:dyDescent="0.3">
      <c r="A2" s="13" t="s">
        <v>26</v>
      </c>
      <c r="B2" s="3">
        <v>18427.5</v>
      </c>
      <c r="C2" s="3">
        <v>18150</v>
      </c>
      <c r="D2" s="14">
        <f>(C2/B2)*100</f>
        <v>98.494098494098495</v>
      </c>
    </row>
    <row r="3" spans="1:4" ht="20.399999999999999" x14ac:dyDescent="0.3">
      <c r="A3" s="13" t="s">
        <v>27</v>
      </c>
      <c r="B3" s="3">
        <v>18427.5</v>
      </c>
      <c r="C3" s="3">
        <v>18150</v>
      </c>
      <c r="D3" s="14">
        <f t="shared" ref="D3:D5" si="0">(C3/B3)*100</f>
        <v>98.494098494098495</v>
      </c>
    </row>
    <row r="4" spans="1:4" ht="20.399999999999999" x14ac:dyDescent="0.3">
      <c r="A4" s="31" t="s">
        <v>28</v>
      </c>
      <c r="B4" s="3">
        <v>18427.5</v>
      </c>
      <c r="C4" s="3">
        <v>18150</v>
      </c>
      <c r="D4" s="14">
        <f t="shared" si="0"/>
        <v>98.494098494098495</v>
      </c>
    </row>
    <row r="5" spans="1:4" ht="20.399999999999999" x14ac:dyDescent="0.3">
      <c r="A5" s="31" t="s">
        <v>29</v>
      </c>
      <c r="B5" s="3">
        <v>18427.5</v>
      </c>
      <c r="C5" s="3">
        <v>18150</v>
      </c>
      <c r="D5" s="14">
        <f t="shared" si="0"/>
        <v>98.494098494098495</v>
      </c>
    </row>
    <row r="6" spans="1:4" ht="21" thickBot="1" x14ac:dyDescent="0.35">
      <c r="A6" s="32" t="s">
        <v>30</v>
      </c>
      <c r="B6" s="3">
        <v>18427.5</v>
      </c>
      <c r="C6" s="3">
        <v>18150</v>
      </c>
      <c r="D6" s="14">
        <f>(C6/B6)*100</f>
        <v>98.494098494098495</v>
      </c>
    </row>
    <row r="7" spans="1:4" ht="20.399999999999999" x14ac:dyDescent="0.3">
      <c r="A7" s="9"/>
      <c r="B7" s="9"/>
      <c r="C7" s="9"/>
      <c r="D7" s="9"/>
    </row>
    <row r="8" spans="1:4" ht="20.399999999999999" x14ac:dyDescent="0.3">
      <c r="A8" s="9"/>
      <c r="B8" s="9"/>
      <c r="C8" s="9"/>
      <c r="D8" s="9"/>
    </row>
    <row r="9" spans="1:4" ht="20.399999999999999" x14ac:dyDescent="0.45">
      <c r="A9" s="1"/>
      <c r="B9" s="1"/>
      <c r="C9" s="1"/>
      <c r="D9" s="1"/>
    </row>
    <row r="10" spans="1:4" ht="20.399999999999999" x14ac:dyDescent="0.45">
      <c r="A10" s="1"/>
      <c r="B10" s="1"/>
      <c r="C10" s="1"/>
      <c r="D10" s="1"/>
    </row>
    <row r="11" spans="1:4" ht="20.399999999999999" x14ac:dyDescent="0.45">
      <c r="A11" s="1"/>
      <c r="B11" s="1"/>
      <c r="C11" s="1"/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Project_Info</vt:lpstr>
      <vt:lpstr>Simulation_Input</vt:lpstr>
      <vt:lpstr>Stream_Results</vt:lpstr>
      <vt:lpstr>Energy_Results</vt:lpstr>
      <vt:lpstr>Performance_Calculations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Ojha</dc:creator>
  <cp:lastModifiedBy>Aman Ojha</cp:lastModifiedBy>
  <dcterms:created xsi:type="dcterms:W3CDTF">2026-10-28T17:42:53Z</dcterms:created>
  <dcterms:modified xsi:type="dcterms:W3CDTF">2026-10-28T19:10:41Z</dcterms:modified>
</cp:coreProperties>
</file>